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cts\stock_val\data\"/>
    </mc:Choice>
  </mc:AlternateContent>
  <xr:revisionPtr revIDLastSave="0" documentId="13_ncr:1_{954D98F9-18B4-407C-877C-CE6DBAFB2970}" xr6:coauthVersionLast="47" xr6:coauthVersionMax="47" xr10:uidLastSave="{00000000-0000-0000-0000-000000000000}"/>
  <bookViews>
    <workbookView xWindow="-108" yWindow="-108" windowWidth="23256" windowHeight="12576" xr2:uid="{C9AFF03F-ECC7-463B-B03A-921C9B3964C1}"/>
  </bookViews>
  <sheets>
    <sheet name="stock_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B27" i="1"/>
  <c r="C24" i="1"/>
  <c r="C25" i="1" s="1"/>
  <c r="C32" i="1" s="1"/>
  <c r="C34" i="1" s="1"/>
  <c r="C36" i="1" s="1"/>
  <c r="C38" i="1" s="1"/>
  <c r="B24" i="1"/>
  <c r="B25" i="1" s="1"/>
  <c r="B32" i="1" s="1"/>
  <c r="B19" i="1"/>
  <c r="B9" i="1"/>
  <c r="B13" i="1" s="1"/>
  <c r="B4" i="1"/>
  <c r="B6" i="1" s="1"/>
  <c r="B34" i="1" l="1"/>
  <c r="B36" i="1" s="1"/>
  <c r="B38" i="1" s="1"/>
  <c r="B40" i="1" s="1"/>
  <c r="B14" i="1"/>
  <c r="B15" i="1"/>
  <c r="B10" i="1"/>
</calcChain>
</file>

<file path=xl/sharedStrings.xml><?xml version="1.0" encoding="utf-8"?>
<sst xmlns="http://schemas.openxmlformats.org/spreadsheetml/2006/main" count="36" uniqueCount="36">
  <si>
    <t>2025Q3</t>
  </si>
  <si>
    <t>Ticker</t>
  </si>
  <si>
    <t>GOOG</t>
  </si>
  <si>
    <t>Share Price</t>
  </si>
  <si>
    <t>Shares Outstanding</t>
  </si>
  <si>
    <t>Market Cap (auto)</t>
  </si>
  <si>
    <t>Revenue (Qtr)</t>
  </si>
  <si>
    <t>COGS</t>
  </si>
  <si>
    <t>Gross Profit</t>
  </si>
  <si>
    <t>Gross Margin</t>
  </si>
  <si>
    <t>OPEX</t>
  </si>
  <si>
    <t>Operating Profit</t>
  </si>
  <si>
    <t>Operating Margin</t>
  </si>
  <si>
    <t>EBITDA PS</t>
  </si>
  <si>
    <t>Cash</t>
  </si>
  <si>
    <t>Debt</t>
  </si>
  <si>
    <t>Net Cash (auto)</t>
  </si>
  <si>
    <t xml:space="preserve">Mid Scenario </t>
  </si>
  <si>
    <t>Good Scenario</t>
  </si>
  <si>
    <t>Expected Revenue CAGR (5y)</t>
  </si>
  <si>
    <t>E Operated Margin</t>
  </si>
  <si>
    <t>E Dilution (5yr)</t>
  </si>
  <si>
    <t>E Shares Outstanding</t>
  </si>
  <si>
    <t>LT Net Debt</t>
  </si>
  <si>
    <t>Interest Rate on Debt</t>
  </si>
  <si>
    <t>Tax Rate</t>
  </si>
  <si>
    <t>Earning</t>
  </si>
  <si>
    <t>Expected EPS</t>
  </si>
  <si>
    <t>LT Earning Multiple</t>
  </si>
  <si>
    <t>Predicted Share Price (5 yr)</t>
  </si>
  <si>
    <t>Discounted rate</t>
  </si>
  <si>
    <t>Subjective Confidence Factor</t>
  </si>
  <si>
    <t>Suggested Position Size</t>
  </si>
  <si>
    <t>E Revenue</t>
  </si>
  <si>
    <t>E EBITDA</t>
  </si>
  <si>
    <t>Predicted Share Price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</si>
</sst>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" fontId="3" fillId="2" borderId="1" xfId="0" applyNumberFormat="1" applyFont="1" applyFill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0" fontId="2" fillId="0" borderId="0" xfId="0" applyFont="1"/>
    <xf numFmtId="9" fontId="3" fillId="0" borderId="1" xfId="0" applyNumberFormat="1" applyFont="1" applyBorder="1"/>
    <xf numFmtId="0" fontId="3" fillId="0" borderId="0" xfId="0" applyFont="1"/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4" fontId="3" fillId="2" borderId="4" xfId="0" applyNumberFormat="1" applyFont="1" applyFill="1" applyBorder="1"/>
    <xf numFmtId="9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836B-BDF5-4AB0-8523-731D1B47AA48}">
  <sheetPr>
    <outlinePr summaryBelow="0" summaryRight="0"/>
  </sheetPr>
  <dimension ref="A2:C40"/>
  <sheetViews>
    <sheetView tabSelected="1" topLeftCell="A19" workbookViewId="0">
      <selection activeCell="F37" sqref="F37"/>
    </sheetView>
  </sheetViews>
  <sheetFormatPr defaultColWidth="12.6640625" defaultRowHeight="15.75" customHeight="1" x14ac:dyDescent="0.3"/>
  <cols>
    <col min="1" max="1" width="26.6640625" bestFit="1" customWidth="1"/>
    <col min="2" max="2" width="16.21875" customWidth="1"/>
    <col min="3" max="3" width="13.77734375" customWidth="1"/>
  </cols>
  <sheetData>
    <row r="2" spans="1:2" ht="13.8" x14ac:dyDescent="0.3">
      <c r="B2" s="1" t="s">
        <v>0</v>
      </c>
    </row>
    <row r="3" spans="1:2" ht="15.75" customHeight="1" x14ac:dyDescent="0.3">
      <c r="A3" s="2" t="s">
        <v>1</v>
      </c>
      <c r="B3" s="3" t="s">
        <v>2</v>
      </c>
    </row>
    <row r="4" spans="1:2" ht="15.75" customHeight="1" x14ac:dyDescent="0.3">
      <c r="A4" s="2" t="s">
        <v>3</v>
      </c>
      <c r="B4" s="4">
        <f ca="1">IFERROR(__xludf.DUMMYFUNCTION("GOOGLEFINANCE(B3)"),276.98)</f>
        <v>276.98</v>
      </c>
    </row>
    <row r="5" spans="1:2" ht="15.75" customHeight="1" x14ac:dyDescent="0.3">
      <c r="A5" s="2" t="s">
        <v>4</v>
      </c>
      <c r="B5" s="5">
        <v>12000000</v>
      </c>
    </row>
    <row r="6" spans="1:2" ht="15.75" customHeight="1" x14ac:dyDescent="0.3">
      <c r="A6" s="2" t="s">
        <v>5</v>
      </c>
      <c r="B6" s="5">
        <f ca="1">B5*B4</f>
        <v>3323760000</v>
      </c>
    </row>
    <row r="7" spans="1:2" ht="15.75" customHeight="1" x14ac:dyDescent="0.3">
      <c r="A7" s="2" t="s">
        <v>6</v>
      </c>
      <c r="B7" s="5">
        <v>102000000</v>
      </c>
    </row>
    <row r="8" spans="1:2" ht="15.75" customHeight="1" x14ac:dyDescent="0.3">
      <c r="A8" s="2" t="s">
        <v>7</v>
      </c>
      <c r="B8" s="5">
        <v>41300000</v>
      </c>
    </row>
    <row r="9" spans="1:2" ht="13.8" x14ac:dyDescent="0.3">
      <c r="A9" s="3" t="s">
        <v>8</v>
      </c>
      <c r="B9" s="5">
        <f>B7-B8</f>
        <v>60700000</v>
      </c>
    </row>
    <row r="10" spans="1:2" ht="15.75" customHeight="1" x14ac:dyDescent="0.3">
      <c r="A10" s="2" t="s">
        <v>9</v>
      </c>
      <c r="B10" s="6">
        <f>B9/B7</f>
        <v>0.59509803921568627</v>
      </c>
    </row>
    <row r="12" spans="1:2" ht="13.8" x14ac:dyDescent="0.3">
      <c r="A12" s="3" t="s">
        <v>10</v>
      </c>
      <c r="B12" s="5">
        <v>29600000</v>
      </c>
    </row>
    <row r="13" spans="1:2" ht="13.8" x14ac:dyDescent="0.3">
      <c r="A13" s="3" t="s">
        <v>11</v>
      </c>
      <c r="B13" s="5">
        <f>B9-B12</f>
        <v>31100000</v>
      </c>
    </row>
    <row r="14" spans="1:2" ht="15.75" customHeight="1" x14ac:dyDescent="0.3">
      <c r="A14" s="2" t="s">
        <v>12</v>
      </c>
      <c r="B14" s="6">
        <f>B13/B7</f>
        <v>0.30490196078431375</v>
      </c>
    </row>
    <row r="15" spans="1:2" ht="15.75" customHeight="1" x14ac:dyDescent="0.3">
      <c r="A15" s="2" t="s">
        <v>13</v>
      </c>
      <c r="B15" s="5">
        <f>B13/B5</f>
        <v>2.5916666666666668</v>
      </c>
    </row>
    <row r="17" spans="1:3" ht="15.75" customHeight="1" x14ac:dyDescent="0.3">
      <c r="A17" s="2" t="s">
        <v>14</v>
      </c>
      <c r="B17" s="5">
        <v>98000000</v>
      </c>
    </row>
    <row r="18" spans="1:3" ht="15.75" customHeight="1" x14ac:dyDescent="0.3">
      <c r="A18" s="2" t="s">
        <v>15</v>
      </c>
      <c r="B18" s="5">
        <v>45000000</v>
      </c>
    </row>
    <row r="19" spans="1:3" ht="15.75" customHeight="1" x14ac:dyDescent="0.3">
      <c r="A19" s="2" t="s">
        <v>16</v>
      </c>
      <c r="B19" s="5">
        <f>B17-B18</f>
        <v>53000000</v>
      </c>
    </row>
    <row r="21" spans="1:3" ht="15.75" customHeight="1" x14ac:dyDescent="0.3">
      <c r="A21" s="7"/>
      <c r="B21" s="1" t="s">
        <v>17</v>
      </c>
      <c r="C21" s="1" t="s">
        <v>18</v>
      </c>
    </row>
    <row r="22" spans="1:3" ht="13.8" x14ac:dyDescent="0.3">
      <c r="A22" s="10" t="s">
        <v>19</v>
      </c>
      <c r="B22" s="8">
        <v>0.1</v>
      </c>
      <c r="C22" s="8">
        <v>0.15</v>
      </c>
    </row>
    <row r="23" spans="1:3" ht="13.8" x14ac:dyDescent="0.3">
      <c r="A23" s="10" t="s">
        <v>20</v>
      </c>
      <c r="B23" s="8">
        <v>0.3</v>
      </c>
      <c r="C23" s="8">
        <v>0.35</v>
      </c>
    </row>
    <row r="24" spans="1:3" ht="13.8" x14ac:dyDescent="0.3">
      <c r="A24" s="3" t="s">
        <v>33</v>
      </c>
      <c r="B24" s="5">
        <f>B7*4*((1+B22)^5)</f>
        <v>657088080.00000024</v>
      </c>
      <c r="C24" s="5">
        <f>B7*4*((1+C22)^5)</f>
        <v>820633732.49999976</v>
      </c>
    </row>
    <row r="25" spans="1:3" ht="13.8" x14ac:dyDescent="0.3">
      <c r="A25" s="3" t="s">
        <v>34</v>
      </c>
      <c r="B25" s="5">
        <f t="shared" ref="B25:C25" si="0">B24*B23</f>
        <v>197126424.00000006</v>
      </c>
      <c r="C25" s="5">
        <f t="shared" si="0"/>
        <v>287221806.37499988</v>
      </c>
    </row>
    <row r="26" spans="1:3" ht="13.8" x14ac:dyDescent="0.3">
      <c r="A26" s="10" t="s">
        <v>21</v>
      </c>
      <c r="B26" s="8">
        <v>0</v>
      </c>
      <c r="C26" s="8">
        <v>0</v>
      </c>
    </row>
    <row r="27" spans="1:3" ht="13.8" x14ac:dyDescent="0.3">
      <c r="A27" s="3" t="s">
        <v>22</v>
      </c>
      <c r="B27" s="5">
        <f>B5*(1+B26)</f>
        <v>12000000</v>
      </c>
      <c r="C27" s="5">
        <f>B5*(1+C26)</f>
        <v>12000000</v>
      </c>
    </row>
    <row r="29" spans="1:3" ht="13.8" x14ac:dyDescent="0.3">
      <c r="A29" s="10" t="s">
        <v>23</v>
      </c>
      <c r="B29" s="5">
        <v>0</v>
      </c>
      <c r="C29" s="5">
        <v>0</v>
      </c>
    </row>
    <row r="30" spans="1:3" ht="13.8" x14ac:dyDescent="0.3">
      <c r="A30" s="10" t="s">
        <v>24</v>
      </c>
      <c r="B30" s="8">
        <v>0.05</v>
      </c>
      <c r="C30" s="8">
        <v>0.04</v>
      </c>
    </row>
    <row r="31" spans="1:3" ht="13.8" x14ac:dyDescent="0.3">
      <c r="A31" s="10" t="s">
        <v>25</v>
      </c>
      <c r="B31" s="8">
        <v>0.2</v>
      </c>
      <c r="C31" s="8">
        <v>0.18</v>
      </c>
    </row>
    <row r="32" spans="1:3" ht="13.8" x14ac:dyDescent="0.3">
      <c r="A32" s="3" t="s">
        <v>26</v>
      </c>
      <c r="B32" s="5">
        <f t="shared" ref="B32:C32" si="1">(B25-B29*B30)*(1-B31)</f>
        <v>157701139.20000005</v>
      </c>
      <c r="C32" s="5">
        <f t="shared" si="1"/>
        <v>235521881.22749993</v>
      </c>
    </row>
    <row r="34" spans="1:3" ht="13.8" x14ac:dyDescent="0.3">
      <c r="A34" s="3" t="s">
        <v>27</v>
      </c>
      <c r="B34" s="5">
        <f t="shared" ref="B34:C34" si="2">B32/B27</f>
        <v>13.141761600000004</v>
      </c>
      <c r="C34" s="5">
        <f t="shared" si="2"/>
        <v>19.626823435624996</v>
      </c>
    </row>
    <row r="35" spans="1:3" ht="13.8" x14ac:dyDescent="0.3">
      <c r="A35" s="3" t="s">
        <v>28</v>
      </c>
      <c r="B35" s="3">
        <v>20</v>
      </c>
      <c r="C35" s="3">
        <v>25</v>
      </c>
    </row>
    <row r="36" spans="1:3" ht="13.8" x14ac:dyDescent="0.3">
      <c r="A36" s="3" t="s">
        <v>29</v>
      </c>
      <c r="B36" s="5">
        <f t="shared" ref="B36:C36" si="3">B34*B35</f>
        <v>262.83523200000008</v>
      </c>
      <c r="C36" s="5">
        <f t="shared" si="3"/>
        <v>490.67058589062486</v>
      </c>
    </row>
    <row r="37" spans="1:3" ht="13.8" x14ac:dyDescent="0.3">
      <c r="A37" s="9" t="s">
        <v>30</v>
      </c>
      <c r="B37" s="8">
        <v>0.05</v>
      </c>
      <c r="C37" s="8">
        <v>0.05</v>
      </c>
    </row>
    <row r="38" spans="1:3" ht="13.8" x14ac:dyDescent="0.3">
      <c r="A38" s="3" t="s">
        <v>35</v>
      </c>
      <c r="B38" s="13">
        <f t="shared" ref="B38:C38" si="4">B36/((B37+1)^5)</f>
        <v>205.93828174180808</v>
      </c>
      <c r="C38" s="13">
        <f t="shared" si="4"/>
        <v>384.453243161714</v>
      </c>
    </row>
    <row r="39" spans="1:3" ht="13.8" x14ac:dyDescent="0.3">
      <c r="A39" s="11" t="s">
        <v>31</v>
      </c>
      <c r="B39" s="14">
        <v>1</v>
      </c>
      <c r="C39" s="14"/>
    </row>
    <row r="40" spans="1:3" ht="13.8" x14ac:dyDescent="0.3">
      <c r="A40" s="12" t="s">
        <v>32</v>
      </c>
      <c r="B40" s="14">
        <f ca="1">((C38*B39-B4)/(C38*B39-B38))</f>
        <v>0.60204053658513024</v>
      </c>
      <c r="C40" s="14"/>
    </row>
  </sheetData>
  <mergeCells count="2">
    <mergeCell ref="B39:C39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stock_val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</dc:creator>
  <cp:lastModifiedBy>kbk</cp:lastModifiedBy>
  <dcterms:created xsi:type="dcterms:W3CDTF">2025-11-17T07:16:00Z</dcterms:created>
  <dcterms:modified xsi:type="dcterms:W3CDTF">2025-11-21T00:32:42Z</dcterms:modified>
</cp:coreProperties>
</file>